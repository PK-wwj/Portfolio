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501FE4D5-AE7A-4518-8587-CA4BCCF7480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Montgomery_Fleet_Equipment_Inve!$A$1:$C$50</definedName>
  </definedNames>
  <calcPr calcId="191028"/>
  <pivotCaches>
    <pivotCache cacheId="126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7" i="1"/>
  <c r="C54" i="1"/>
  <c r="C53" i="1"/>
  <c r="C56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<sst xmlns="http://schemas.openxmlformats.org/spreadsheetml/2006/main" count="169" uniqueCount="38">
  <si>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</si>
  <si>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</si>
  <si>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</si>
  <si>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</si>
  <si>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</si>
  <si>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</si>
  <si>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</si>
  <si>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</si>
  <si>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</si>
  <si>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</si>
  <si>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</si>
  <si>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</si>
  <si>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</si>
  <si>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</si>
  <si>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</si>
  <si>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</si>
  <si>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</si>
  <si>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</si>
  <si>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</si>
  <si>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</si>
  <si>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</si>
  <si>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</si>
  <si>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</si>
  <si>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</si>
  <si>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</si>
  <si>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</si>
  <si>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</si>
  <si>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</si>
  <si>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</si>
  <si>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C</t>
  </si>
  <si>
    <t>Average C</t>
  </si>
  <si>
    <t>Min C</t>
  </si>
  <si>
    <t>Max C</t>
  </si>
  <si>
    <t>Count C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</si>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</sst>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901868171299" createdVersion="8" refreshedVersion="8" minRefreshableVersion="3" recordCount="49" xr:uid="{7042EDD6-000C-425E-80BE-B45E5539B272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E237B-4170-4DE2-A0A2-4986A1CFA058}" name="PivotTable1" cacheId="1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98FC1-1759-4570-B572-BC31C3D5D2F9}" name="PivotTable2" cacheId="1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4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F7A99-6521-43AC-89AC-CBFB0287A8B0}" name="PivotTable3" cacheId="1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0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C1C78-0549-4533-AAC3-C13B5C56E9BF}" name="Table1" displayName="Table1" ref="A1:C50" totalsRowShown="0">
  <autoFilter ref="A1:C50" xr:uid="{4D6C1C78-0549-4533-AAC3-C13B5C56E9BF}"/>
  <tableColumns count="3">
    <tableColumn id="1" xr3:uid="{2B683713-69C9-47D6-A6FD-10960FBA5D75}" name="Department"/>
    <tableColumn id="2" xr3:uid="{AF344606-E9E5-4E51-843B-D600464AC217}" name="Equipment Class"/>
    <tableColumn id="3" xr3:uid="{DAA0F7CC-CA5C-4CDB-8684-0924B18923BA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activeCell="B15" sqref="B15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3" spans="1:3">
      <c r="B53" t="s">
        <v>29</v>
      </c>
      <c r="C53">
        <f>SUM(C2:C50)</f>
        <v>1582</v>
      </c>
    </row>
    <row r="54" spans="1:3">
      <c r="B54" t="s">
        <v>30</v>
      </c>
      <c r="C54">
        <f>AVERAGE(C2:C50)</f>
        <v>32.285714285714285</v>
      </c>
    </row>
    <row r="55" spans="1:3">
      <c r="B55" t="s">
        <v>31</v>
      </c>
      <c r="C55">
        <f>MIN(C2:C50)</f>
        <v>1</v>
      </c>
    </row>
    <row r="56" spans="1:3">
      <c r="B56" t="s">
        <v>32</v>
      </c>
      <c r="C56">
        <f>MAX(C2:C50)</f>
        <v>379</v>
      </c>
    </row>
    <row r="57" spans="1:3">
      <c r="B57" t="s">
        <v>33</v>
      </c>
      <c r="C57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F5C8-8E02-4235-9644-9B964739F187}">
  <dimension ref="A2:B15"/>
  <sheetViews>
    <sheetView workbookViewId="0">
      <selection activeCell="B3" sqref="B3"/>
    </sheetView>
  </sheetViews>
  <sheetFormatPr defaultRowHeight="15"/>
  <cols>
    <col min="1" max="1" width="28.42578125" bestFit="1" customWidth="1"/>
    <col min="2" max="3" width="23.140625" bestFit="1" customWidth="1"/>
  </cols>
  <sheetData>
    <row r="2" spans="1:2">
      <c r="A2" s="2" t="s">
        <v>0</v>
      </c>
      <c r="B2" t="s">
        <v>34</v>
      </c>
    </row>
    <row r="3" spans="1:2">
      <c r="A3" t="s">
        <v>27</v>
      </c>
      <c r="B3" s="1">
        <v>1221</v>
      </c>
    </row>
    <row r="4" spans="1:2">
      <c r="A4" t="s">
        <v>14</v>
      </c>
      <c r="B4" s="1">
        <v>109</v>
      </c>
    </row>
    <row r="5" spans="1:2">
      <c r="A5" t="s">
        <v>19</v>
      </c>
      <c r="B5" s="1">
        <v>85</v>
      </c>
    </row>
    <row r="6" spans="1:2">
      <c r="A6" t="s">
        <v>11</v>
      </c>
      <c r="B6" s="1">
        <v>56</v>
      </c>
    </row>
    <row r="7" spans="1:2">
      <c r="A7" t="s">
        <v>3</v>
      </c>
      <c r="B7" s="1">
        <v>45</v>
      </c>
    </row>
    <row r="8" spans="1:2">
      <c r="A8" t="s">
        <v>17</v>
      </c>
      <c r="B8" s="1">
        <v>35</v>
      </c>
    </row>
    <row r="9" spans="1:2">
      <c r="A9" t="s">
        <v>26</v>
      </c>
      <c r="B9" s="1">
        <v>16</v>
      </c>
    </row>
    <row r="10" spans="1:2">
      <c r="A10" t="s">
        <v>8</v>
      </c>
      <c r="B10" s="1">
        <v>6</v>
      </c>
    </row>
    <row r="11" spans="1:2">
      <c r="A11" t="s">
        <v>25</v>
      </c>
      <c r="B11" s="1">
        <v>5</v>
      </c>
    </row>
    <row r="12" spans="1:2">
      <c r="A12" t="s">
        <v>7</v>
      </c>
      <c r="B12" s="1">
        <v>2</v>
      </c>
    </row>
    <row r="13" spans="1:2">
      <c r="A13" t="s">
        <v>13</v>
      </c>
      <c r="B13" s="1">
        <v>1</v>
      </c>
    </row>
    <row r="14" spans="1:2">
      <c r="A14" t="s">
        <v>16</v>
      </c>
      <c r="B14" s="1">
        <v>1</v>
      </c>
    </row>
    <row r="15" spans="1:2">
      <c r="A15" t="s">
        <v>35</v>
      </c>
      <c r="B15" s="1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112F-EFC0-4967-A272-E16D1EEE313B}">
  <dimension ref="A2:C24"/>
  <sheetViews>
    <sheetView workbookViewId="0">
      <selection activeCell="A2" sqref="A2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2" spans="1:3">
      <c r="A2" s="2" t="s">
        <v>0</v>
      </c>
      <c r="B2" s="2" t="s">
        <v>1</v>
      </c>
      <c r="C2" t="s">
        <v>34</v>
      </c>
    </row>
    <row r="3" spans="1:3">
      <c r="A3" t="s">
        <v>27</v>
      </c>
      <c r="B3" t="s">
        <v>15</v>
      </c>
      <c r="C3" s="1">
        <v>5</v>
      </c>
    </row>
    <row r="4" spans="1:3">
      <c r="B4" t="s">
        <v>12</v>
      </c>
      <c r="C4" s="1">
        <v>248</v>
      </c>
    </row>
    <row r="5" spans="1:3">
      <c r="B5" t="s">
        <v>10</v>
      </c>
      <c r="C5" s="1">
        <v>98</v>
      </c>
    </row>
    <row r="6" spans="1:3">
      <c r="B6" t="s">
        <v>18</v>
      </c>
      <c r="C6" s="1">
        <v>276</v>
      </c>
    </row>
    <row r="7" spans="1:3">
      <c r="B7" t="s">
        <v>4</v>
      </c>
      <c r="C7" s="1">
        <v>93</v>
      </c>
    </row>
    <row r="8" spans="1:3">
      <c r="B8" t="s">
        <v>6</v>
      </c>
      <c r="C8" s="1">
        <v>37</v>
      </c>
    </row>
    <row r="9" spans="1:3">
      <c r="B9" t="s">
        <v>5</v>
      </c>
      <c r="C9" s="1">
        <v>53</v>
      </c>
    </row>
    <row r="10" spans="1:3">
      <c r="B10" t="s">
        <v>28</v>
      </c>
      <c r="C10" s="1">
        <v>379</v>
      </c>
    </row>
    <row r="11" spans="1:3">
      <c r="B11" t="s">
        <v>9</v>
      </c>
      <c r="C11" s="1">
        <v>32</v>
      </c>
    </row>
    <row r="12" spans="1:3">
      <c r="A12" t="s">
        <v>36</v>
      </c>
      <c r="C12" s="1">
        <v>1221</v>
      </c>
    </row>
    <row r="13" spans="1:3">
      <c r="A13" t="s">
        <v>14</v>
      </c>
      <c r="C13" s="1">
        <v>109</v>
      </c>
    </row>
    <row r="14" spans="1:3">
      <c r="A14" t="s">
        <v>19</v>
      </c>
      <c r="C14" s="1">
        <v>85</v>
      </c>
    </row>
    <row r="15" spans="1:3">
      <c r="A15" t="s">
        <v>11</v>
      </c>
      <c r="C15" s="1">
        <v>56</v>
      </c>
    </row>
    <row r="16" spans="1:3">
      <c r="A16" t="s">
        <v>3</v>
      </c>
      <c r="C16" s="1">
        <v>45</v>
      </c>
    </row>
    <row r="17" spans="1:3">
      <c r="A17" t="s">
        <v>17</v>
      </c>
      <c r="C17" s="1">
        <v>35</v>
      </c>
    </row>
    <row r="18" spans="1:3">
      <c r="A18" t="s">
        <v>26</v>
      </c>
      <c r="C18" s="1">
        <v>16</v>
      </c>
    </row>
    <row r="19" spans="1:3">
      <c r="A19" t="s">
        <v>8</v>
      </c>
      <c r="C19" s="1">
        <v>6</v>
      </c>
    </row>
    <row r="20" spans="1:3">
      <c r="A20" t="s">
        <v>25</v>
      </c>
      <c r="C20" s="1">
        <v>5</v>
      </c>
    </row>
    <row r="21" spans="1:3">
      <c r="A21" t="s">
        <v>7</v>
      </c>
      <c r="C21" s="1">
        <v>2</v>
      </c>
    </row>
    <row r="22" spans="1:3">
      <c r="A22" t="s">
        <v>13</v>
      </c>
      <c r="C22" s="1">
        <v>1</v>
      </c>
    </row>
    <row r="23" spans="1:3">
      <c r="A23" t="s">
        <v>16</v>
      </c>
      <c r="C23" s="1">
        <v>1</v>
      </c>
    </row>
    <row r="24" spans="1:3">
      <c r="A24" t="s">
        <v>35</v>
      </c>
      <c r="C24" s="1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BC5E-6AA2-44B1-9B44-7E57DEECCD3F}">
  <dimension ref="A2:C20"/>
  <sheetViews>
    <sheetView tabSelected="1" workbookViewId="0">
      <selection activeCell="A2" sqref="A2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2" spans="1:3">
      <c r="A2" s="2" t="s">
        <v>1</v>
      </c>
      <c r="B2" s="2" t="s">
        <v>0</v>
      </c>
      <c r="C2" t="s">
        <v>34</v>
      </c>
    </row>
    <row r="3" spans="1:3">
      <c r="A3" t="s">
        <v>15</v>
      </c>
      <c r="B3" t="s">
        <v>14</v>
      </c>
      <c r="C3" s="1">
        <v>9</v>
      </c>
    </row>
    <row r="4" spans="1:3">
      <c r="B4" t="s">
        <v>27</v>
      </c>
      <c r="C4" s="1">
        <v>5</v>
      </c>
    </row>
    <row r="5" spans="1:3">
      <c r="B5" t="s">
        <v>26</v>
      </c>
      <c r="C5" s="1">
        <v>1</v>
      </c>
    </row>
    <row r="6" spans="1:3">
      <c r="A6" t="s">
        <v>37</v>
      </c>
      <c r="C6" s="1">
        <v>15</v>
      </c>
    </row>
    <row r="7" spans="1:3">
      <c r="A7" t="s">
        <v>12</v>
      </c>
      <c r="C7" s="1">
        <v>290</v>
      </c>
    </row>
    <row r="8" spans="1:3">
      <c r="A8" t="s">
        <v>10</v>
      </c>
      <c r="C8" s="1">
        <v>100</v>
      </c>
    </row>
    <row r="9" spans="1:3">
      <c r="A9" t="s">
        <v>18</v>
      </c>
      <c r="C9" s="1">
        <v>283</v>
      </c>
    </row>
    <row r="10" spans="1:3">
      <c r="A10" t="s">
        <v>4</v>
      </c>
      <c r="C10" s="1">
        <v>150</v>
      </c>
    </row>
    <row r="11" spans="1:3">
      <c r="A11" t="s">
        <v>22</v>
      </c>
      <c r="C11" s="1">
        <v>4</v>
      </c>
    </row>
    <row r="12" spans="1:3">
      <c r="A12" t="s">
        <v>24</v>
      </c>
      <c r="C12" s="1">
        <v>1</v>
      </c>
    </row>
    <row r="13" spans="1:3">
      <c r="A13" t="s">
        <v>23</v>
      </c>
      <c r="C13" s="1">
        <v>47</v>
      </c>
    </row>
    <row r="14" spans="1:3">
      <c r="A14" t="s">
        <v>20</v>
      </c>
      <c r="C14" s="1">
        <v>20</v>
      </c>
    </row>
    <row r="15" spans="1:3">
      <c r="A15" t="s">
        <v>21</v>
      </c>
      <c r="C15" s="1">
        <v>8</v>
      </c>
    </row>
    <row r="16" spans="1:3">
      <c r="A16" t="s">
        <v>6</v>
      </c>
      <c r="C16" s="1">
        <v>130</v>
      </c>
    </row>
    <row r="17" spans="1:3">
      <c r="A17" t="s">
        <v>5</v>
      </c>
      <c r="C17" s="1">
        <v>90</v>
      </c>
    </row>
    <row r="18" spans="1:3">
      <c r="A18" t="s">
        <v>28</v>
      </c>
      <c r="C18" s="1">
        <v>379</v>
      </c>
    </row>
    <row r="19" spans="1:3">
      <c r="A19" t="s">
        <v>9</v>
      </c>
      <c r="C19" s="1">
        <v>65</v>
      </c>
    </row>
    <row r="20" spans="1:3">
      <c r="A20" t="s">
        <v>35</v>
      </c>
      <c r="C20" s="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2025-12-30T02:53:51Z</dcterms:modified>
  <cp:category/>
  <cp:contentStatus/>
</cp:coreProperties>
</file>